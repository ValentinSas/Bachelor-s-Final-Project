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oala\Anul IV\LICENTA\"/>
    </mc:Choice>
  </mc:AlternateContent>
  <bookViews>
    <workbookView xWindow="0" yWindow="0" windowWidth="23025" windowHeight="108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O5" i="1" s="1"/>
  <c r="N7" i="1"/>
  <c r="W19" i="1"/>
  <c r="W16" i="1"/>
  <c r="W17" i="1" s="1"/>
  <c r="W18" i="1" s="1"/>
  <c r="V19" i="1"/>
  <c r="V16" i="1"/>
  <c r="V17" i="1" s="1"/>
  <c r="V18" i="1" s="1"/>
  <c r="J28" i="1"/>
  <c r="L28" i="1" s="1"/>
  <c r="J22" i="1" l="1"/>
  <c r="J26" i="1" s="1"/>
  <c r="L23" i="1"/>
  <c r="L24" i="1"/>
  <c r="L25" i="1"/>
  <c r="H22" i="1" l="1"/>
  <c r="D11" i="1" l="1"/>
  <c r="G23" i="1"/>
  <c r="H23" i="1" s="1"/>
  <c r="E11" i="1" l="1"/>
  <c r="D12" i="1"/>
  <c r="G24" i="1"/>
  <c r="N23" i="1"/>
  <c r="N26" i="1" s="1"/>
  <c r="K7" i="1" s="1"/>
  <c r="G3" i="1"/>
  <c r="F3" i="1" s="1"/>
  <c r="I22" i="1" s="1"/>
  <c r="G2" i="1"/>
  <c r="H2" i="1"/>
  <c r="M21" i="1" s="1"/>
  <c r="C2" i="1"/>
  <c r="L22" i="1"/>
  <c r="D15" i="1"/>
  <c r="H4" i="1"/>
  <c r="M23" i="1" s="1"/>
  <c r="H5" i="1"/>
  <c r="M24" i="1" s="1"/>
  <c r="H6" i="1"/>
  <c r="M25" i="1" s="1"/>
  <c r="H3" i="1"/>
  <c r="M22" i="1" s="1"/>
  <c r="A7" i="1"/>
  <c r="C7" i="1" s="1"/>
  <c r="G4" i="1"/>
  <c r="F4" i="1" s="1"/>
  <c r="I23" i="1" s="1"/>
  <c r="G5" i="1"/>
  <c r="F5" i="1" s="1"/>
  <c r="I24" i="1" s="1"/>
  <c r="G6" i="1"/>
  <c r="C4" i="1"/>
  <c r="C5" i="1"/>
  <c r="C6" i="1"/>
  <c r="C3" i="1"/>
  <c r="E12" i="1" l="1"/>
  <c r="D13" i="1"/>
  <c r="Q12" i="1"/>
  <c r="R12" i="1" s="1"/>
  <c r="S12" i="1" s="1"/>
  <c r="Q13" i="1"/>
  <c r="R13" i="1" s="1"/>
  <c r="S13" i="1" s="1"/>
  <c r="F6" i="1"/>
  <c r="H24" i="1"/>
  <c r="G25" i="1"/>
  <c r="H25" i="1" s="1"/>
  <c r="G7" i="1"/>
  <c r="M26" i="1" l="1"/>
  <c r="I26" i="1"/>
  <c r="Q14" i="1"/>
  <c r="I25" i="1"/>
  <c r="E13" i="1"/>
  <c r="D14" i="1"/>
  <c r="E14" i="1" s="1"/>
  <c r="R14" i="1"/>
  <c r="S14" i="1" s="1"/>
  <c r="Q15" i="1"/>
  <c r="N4" i="1" l="1"/>
  <c r="O4" i="1" s="1"/>
  <c r="P4" i="1" s="1"/>
  <c r="N2" i="1"/>
  <c r="O2" i="1" s="1"/>
  <c r="P2" i="1" s="1"/>
  <c r="N3" i="1"/>
  <c r="O3" i="1" s="1"/>
  <c r="P3" i="1" s="1"/>
  <c r="J27" i="1"/>
  <c r="J29" i="1" s="1"/>
  <c r="R15" i="1"/>
</calcChain>
</file>

<file path=xl/sharedStrings.xml><?xml version="1.0" encoding="utf-8"?>
<sst xmlns="http://schemas.openxmlformats.org/spreadsheetml/2006/main" count="59" uniqueCount="44">
  <si>
    <t>Cote in</t>
  </si>
  <si>
    <t>Coef</t>
  </si>
  <si>
    <t>L desf</t>
  </si>
  <si>
    <t>Material</t>
  </si>
  <si>
    <t>metal</t>
  </si>
  <si>
    <t>plastic</t>
  </si>
  <si>
    <t>E1</t>
  </si>
  <si>
    <t>E2</t>
  </si>
  <si>
    <t>E3</t>
  </si>
  <si>
    <t>E4</t>
  </si>
  <si>
    <t>Unghi</t>
  </si>
  <si>
    <t>grosime</t>
  </si>
  <si>
    <t>r min</t>
  </si>
  <si>
    <t>inaltime</t>
  </si>
  <si>
    <t>Arcuri</t>
  </si>
  <si>
    <t>A1</t>
  </si>
  <si>
    <t>A2</t>
  </si>
  <si>
    <t>A3</t>
  </si>
  <si>
    <t>Nedef</t>
  </si>
  <si>
    <t>Def</t>
  </si>
  <si>
    <t>x</t>
  </si>
  <si>
    <t>Total</t>
  </si>
  <si>
    <t>Motor</t>
  </si>
  <si>
    <t>h</t>
  </si>
  <si>
    <t>l</t>
  </si>
  <si>
    <t>d</t>
  </si>
  <si>
    <t>coord centru ax</t>
  </si>
  <si>
    <t>Latime</t>
  </si>
  <si>
    <t>Max</t>
  </si>
  <si>
    <t>Min</t>
  </si>
  <si>
    <t>Lungime</t>
  </si>
  <si>
    <t>D min</t>
  </si>
  <si>
    <t>D ales</t>
  </si>
  <si>
    <t>D ext</t>
  </si>
  <si>
    <t>Fir</t>
  </si>
  <si>
    <t>Distante</t>
  </si>
  <si>
    <t>ax</t>
  </si>
  <si>
    <t>varf</t>
  </si>
  <si>
    <t>L infas</t>
  </si>
  <si>
    <t>Verificare D</t>
  </si>
  <si>
    <t>Elemente</t>
  </si>
  <si>
    <t>Calculat</t>
  </si>
  <si>
    <t>Aproximat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</si>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</sst>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tabSelected="1" workbookViewId="0">
      <selection activeCell="M1" sqref="M1:P5"/>
    </sheetView>
  </sheetViews>
  <sheetFormatPr defaultRowHeight="15" x14ac:dyDescent="0.25"/>
  <cols>
    <col min="4" max="5" width="9.140625" customWidth="1"/>
    <col min="6" max="6" width="10.140625" customWidth="1"/>
    <col min="7" max="12" width="9.140625" customWidth="1"/>
    <col min="15" max="15" width="16.7109375" customWidth="1"/>
  </cols>
  <sheetData>
    <row r="1" spans="1:24" x14ac:dyDescent="0.25">
      <c r="A1" s="1" t="s">
        <v>0</v>
      </c>
      <c r="B1" s="1" t="s">
        <v>12</v>
      </c>
      <c r="C1" s="1" t="s">
        <v>2</v>
      </c>
      <c r="D1" s="1" t="s">
        <v>10</v>
      </c>
      <c r="F1" t="s">
        <v>30</v>
      </c>
      <c r="G1" t="s">
        <v>0</v>
      </c>
      <c r="H1" t="s">
        <v>12</v>
      </c>
      <c r="M1" s="1" t="s">
        <v>34</v>
      </c>
      <c r="N1" s="1" t="s">
        <v>41</v>
      </c>
      <c r="O1" s="1" t="s">
        <v>42</v>
      </c>
      <c r="P1" s="1" t="s">
        <v>43</v>
      </c>
    </row>
    <row r="2" spans="1:24" x14ac:dyDescent="0.25">
      <c r="A2" s="1">
        <v>12</v>
      </c>
      <c r="B2" s="1">
        <v>10</v>
      </c>
      <c r="C2" s="1">
        <f>B2*PI()</f>
        <v>31.415926535897931</v>
      </c>
      <c r="D2" s="1">
        <v>0</v>
      </c>
      <c r="G2">
        <f t="shared" ref="G2:H6" si="0">ROUND(A2*$A$11,0)</f>
        <v>18</v>
      </c>
      <c r="H2">
        <f t="shared" si="0"/>
        <v>15</v>
      </c>
      <c r="M2" s="1">
        <v>1</v>
      </c>
      <c r="N2" s="1">
        <f>$I$26+$K$22+$W$16+N7</f>
        <v>378.88273369262998</v>
      </c>
      <c r="O2" s="1">
        <f>ROUND(N2,0)</f>
        <v>379</v>
      </c>
      <c r="P2" s="1">
        <f>O2+20</f>
        <v>399</v>
      </c>
    </row>
    <row r="3" spans="1:24" x14ac:dyDescent="0.25">
      <c r="A3" s="1">
        <v>20</v>
      </c>
      <c r="B3" s="1">
        <v>30</v>
      </c>
      <c r="C3" s="1">
        <f>B3*PI()</f>
        <v>94.247779607693786</v>
      </c>
      <c r="D3" s="1">
        <v>0</v>
      </c>
      <c r="F3">
        <f>G3-10</f>
        <v>20</v>
      </c>
      <c r="G3">
        <f t="shared" si="0"/>
        <v>30</v>
      </c>
      <c r="H3">
        <f t="shared" si="0"/>
        <v>45</v>
      </c>
      <c r="M3" s="1">
        <v>2</v>
      </c>
      <c r="N3" s="1">
        <f>$I$26+$K$22+$W$17+$N$7</f>
        <v>415.88273369262998</v>
      </c>
      <c r="O3" s="1">
        <f t="shared" ref="O3:O5" si="1">ROUND(N3,0)</f>
        <v>416</v>
      </c>
      <c r="P3" s="1">
        <f t="shared" ref="P3:P4" si="2">O3+20</f>
        <v>436</v>
      </c>
    </row>
    <row r="4" spans="1:24" x14ac:dyDescent="0.25">
      <c r="A4" s="1">
        <v>35</v>
      </c>
      <c r="B4" s="1">
        <v>40</v>
      </c>
      <c r="C4" s="1">
        <f t="shared" ref="C4:C6" si="3">B4*PI()</f>
        <v>125.66370614359172</v>
      </c>
      <c r="D4" s="1">
        <v>66</v>
      </c>
      <c r="F4">
        <f>G4+10</f>
        <v>63</v>
      </c>
      <c r="G4">
        <f t="shared" si="0"/>
        <v>53</v>
      </c>
      <c r="H4">
        <f t="shared" si="0"/>
        <v>60</v>
      </c>
      <c r="M4" s="1">
        <v>3</v>
      </c>
      <c r="N4" s="1">
        <f>$I$26+$K$22+$W$18+$N$7</f>
        <v>452.88273369262998</v>
      </c>
      <c r="O4" s="1">
        <f t="shared" si="1"/>
        <v>453</v>
      </c>
      <c r="P4" s="1">
        <f t="shared" si="2"/>
        <v>473</v>
      </c>
    </row>
    <row r="5" spans="1:24" x14ac:dyDescent="0.25">
      <c r="A5" s="1">
        <v>25</v>
      </c>
      <c r="B5" s="1">
        <v>50</v>
      </c>
      <c r="C5" s="1">
        <f t="shared" si="3"/>
        <v>157.07963267948966</v>
      </c>
      <c r="D5" s="1">
        <v>55</v>
      </c>
      <c r="F5">
        <f t="shared" ref="F5:F6" si="4">G5+10</f>
        <v>48</v>
      </c>
      <c r="G5">
        <f t="shared" si="0"/>
        <v>38</v>
      </c>
      <c r="H5">
        <f t="shared" si="0"/>
        <v>75</v>
      </c>
      <c r="M5" s="1">
        <v>4</v>
      </c>
      <c r="N5" s="1">
        <f>40+40+64+45+PI()*6/4+9*29*PI()/8</f>
        <v>296.20684930375171</v>
      </c>
      <c r="O5" s="1">
        <f t="shared" si="1"/>
        <v>296</v>
      </c>
      <c r="P5" s="1"/>
    </row>
    <row r="6" spans="1:24" x14ac:dyDescent="0.25">
      <c r="A6" s="1">
        <v>16</v>
      </c>
      <c r="B6" s="1">
        <v>60</v>
      </c>
      <c r="C6" s="1">
        <f t="shared" si="3"/>
        <v>188.49555921538757</v>
      </c>
      <c r="D6" s="1">
        <v>32</v>
      </c>
      <c r="F6">
        <f t="shared" si="4"/>
        <v>34</v>
      </c>
      <c r="G6">
        <f t="shared" si="0"/>
        <v>24</v>
      </c>
      <c r="H6">
        <f t="shared" si="0"/>
        <v>90</v>
      </c>
    </row>
    <row r="7" spans="1:24" x14ac:dyDescent="0.25">
      <c r="A7" s="1">
        <f>SUM(A3:A6)</f>
        <v>96</v>
      </c>
      <c r="B7" s="1"/>
      <c r="C7" s="1" t="str">
        <f>IF(A7-C3&lt;=10,"Da","nu")</f>
        <v>Da</v>
      </c>
      <c r="D7" s="1"/>
      <c r="G7">
        <f>SUM(G3:G6)</f>
        <v>145</v>
      </c>
      <c r="K7" t="str">
        <f>IF(N26&lt;=180, "da","nu")</f>
        <v>da</v>
      </c>
      <c r="M7" t="s">
        <v>38</v>
      </c>
      <c r="N7">
        <f>5*29*PI()/4</f>
        <v>113.88273369263</v>
      </c>
    </row>
    <row r="9" spans="1:24" x14ac:dyDescent="0.25">
      <c r="H9" t="s">
        <v>3</v>
      </c>
      <c r="I9" t="s">
        <v>5</v>
      </c>
    </row>
    <row r="10" spans="1:24" x14ac:dyDescent="0.25">
      <c r="A10" t="s">
        <v>1</v>
      </c>
      <c r="C10" t="s">
        <v>3</v>
      </c>
      <c r="D10" t="s">
        <v>4</v>
      </c>
    </row>
    <row r="11" spans="1:24" x14ac:dyDescent="0.25">
      <c r="A11">
        <v>1.5</v>
      </c>
      <c r="C11" t="s">
        <v>6</v>
      </c>
      <c r="D11">
        <f>25</f>
        <v>25</v>
      </c>
      <c r="E11">
        <f>D11-2</f>
        <v>23</v>
      </c>
      <c r="P11" t="s">
        <v>14</v>
      </c>
      <c r="Q11" t="s">
        <v>18</v>
      </c>
      <c r="R11" t="s">
        <v>19</v>
      </c>
      <c r="S11" t="s">
        <v>20</v>
      </c>
      <c r="U11" t="s">
        <v>22</v>
      </c>
      <c r="V11" t="s">
        <v>23</v>
      </c>
      <c r="W11" t="s">
        <v>24</v>
      </c>
      <c r="X11" t="s">
        <v>25</v>
      </c>
    </row>
    <row r="12" spans="1:24" x14ac:dyDescent="0.25">
      <c r="C12" t="s">
        <v>7</v>
      </c>
      <c r="D12">
        <f>D11-3</f>
        <v>22</v>
      </c>
      <c r="E12">
        <f t="shared" ref="E12:E14" si="5">D12-2</f>
        <v>20</v>
      </c>
      <c r="P12" t="s">
        <v>15</v>
      </c>
      <c r="Q12">
        <f>ROUND(13-10+F4/2,0)</f>
        <v>35</v>
      </c>
      <c r="R12">
        <f>ROUNDUP(Q12+5*PI()*N23/180,0)</f>
        <v>42</v>
      </c>
      <c r="S12">
        <f>R12-Q12</f>
        <v>7</v>
      </c>
      <c r="V12">
        <v>55</v>
      </c>
      <c r="W12">
        <v>45</v>
      </c>
      <c r="X12">
        <v>20</v>
      </c>
    </row>
    <row r="13" spans="1:24" x14ac:dyDescent="0.25">
      <c r="C13" t="s">
        <v>8</v>
      </c>
      <c r="D13">
        <f>D12-3</f>
        <v>19</v>
      </c>
      <c r="E13">
        <f t="shared" si="5"/>
        <v>17</v>
      </c>
      <c r="P13" t="s">
        <v>16</v>
      </c>
      <c r="Q13">
        <f>ROUND(-10+F4/2+F5/2,0)</f>
        <v>46</v>
      </c>
      <c r="R13">
        <f>ROUNDUP(Q13+5*PI()*N24/180,0)</f>
        <v>51</v>
      </c>
      <c r="S13">
        <f t="shared" ref="S13:S14" si="6">R13-Q13</f>
        <v>5</v>
      </c>
      <c r="U13" t="s">
        <v>26</v>
      </c>
      <c r="V13">
        <v>20</v>
      </c>
      <c r="W13">
        <v>10</v>
      </c>
      <c r="X13">
        <v>15</v>
      </c>
    </row>
    <row r="14" spans="1:24" x14ac:dyDescent="0.25">
      <c r="C14" t="s">
        <v>9</v>
      </c>
      <c r="D14">
        <f t="shared" ref="D14" si="7">D13-3</f>
        <v>16</v>
      </c>
      <c r="E14">
        <f t="shared" si="5"/>
        <v>14</v>
      </c>
      <c r="P14" t="s">
        <v>17</v>
      </c>
      <c r="Q14">
        <f>ROUND(-10+F5/2+F6/2,0)</f>
        <v>31</v>
      </c>
      <c r="R14">
        <f>ROUNDUP(Q14+5*PI()*N25/180,0)</f>
        <v>35</v>
      </c>
      <c r="S14">
        <f t="shared" si="6"/>
        <v>4</v>
      </c>
    </row>
    <row r="15" spans="1:24" x14ac:dyDescent="0.25">
      <c r="C15" t="s">
        <v>11</v>
      </c>
      <c r="D15">
        <f>1</f>
        <v>1</v>
      </c>
      <c r="P15" t="s">
        <v>21</v>
      </c>
      <c r="Q15">
        <f>SUM(Q12:Q14)</f>
        <v>112</v>
      </c>
      <c r="R15">
        <f>SUM(R12:R14)</f>
        <v>128</v>
      </c>
      <c r="U15" t="s">
        <v>35</v>
      </c>
      <c r="V15" t="s">
        <v>36</v>
      </c>
      <c r="W15" t="s">
        <v>37</v>
      </c>
    </row>
    <row r="16" spans="1:24" x14ac:dyDescent="0.25">
      <c r="C16" t="s">
        <v>13</v>
      </c>
      <c r="D16">
        <v>20</v>
      </c>
      <c r="U16">
        <v>1</v>
      </c>
      <c r="V16">
        <f>100+14.5</f>
        <v>114.5</v>
      </c>
      <c r="W16">
        <f>100</f>
        <v>100</v>
      </c>
    </row>
    <row r="17" spans="6:23" x14ac:dyDescent="0.25">
      <c r="U17">
        <v>2</v>
      </c>
      <c r="V17">
        <f>V16+37</f>
        <v>151.5</v>
      </c>
      <c r="W17">
        <f>W16+37</f>
        <v>137</v>
      </c>
    </row>
    <row r="18" spans="6:23" x14ac:dyDescent="0.25">
      <c r="U18">
        <v>3</v>
      </c>
      <c r="V18">
        <f>V17+37</f>
        <v>188.5</v>
      </c>
      <c r="W18">
        <f>W17+37</f>
        <v>174</v>
      </c>
    </row>
    <row r="19" spans="6:23" x14ac:dyDescent="0.25">
      <c r="U19">
        <v>4</v>
      </c>
      <c r="V19">
        <f>10+4.5</f>
        <v>14.5</v>
      </c>
      <c r="W19">
        <f>10</f>
        <v>10</v>
      </c>
    </row>
    <row r="20" spans="6:23" x14ac:dyDescent="0.25">
      <c r="F20" s="3" t="s">
        <v>40</v>
      </c>
      <c r="G20" s="5" t="s">
        <v>27</v>
      </c>
      <c r="H20" s="5"/>
      <c r="I20" s="5" t="s">
        <v>30</v>
      </c>
      <c r="J20" s="5"/>
      <c r="K20" s="1" t="s">
        <v>13</v>
      </c>
      <c r="L20" s="1" t="s">
        <v>11</v>
      </c>
      <c r="M20" s="1" t="s">
        <v>2</v>
      </c>
      <c r="N20" s="1" t="s">
        <v>10</v>
      </c>
    </row>
    <row r="21" spans="6:23" x14ac:dyDescent="0.25">
      <c r="F21" s="4"/>
      <c r="G21" s="1" t="s">
        <v>28</v>
      </c>
      <c r="H21" s="1" t="s">
        <v>29</v>
      </c>
      <c r="I21" s="1" t="s">
        <v>28</v>
      </c>
      <c r="J21" s="1" t="s">
        <v>29</v>
      </c>
      <c r="K21" s="1"/>
      <c r="L21" s="1"/>
      <c r="M21" s="1">
        <f>H2*PI()</f>
        <v>47.123889803846893</v>
      </c>
      <c r="N21" s="1">
        <v>0</v>
      </c>
    </row>
    <row r="22" spans="6:23" x14ac:dyDescent="0.25">
      <c r="F22" s="1" t="s">
        <v>6</v>
      </c>
      <c r="G22" s="1">
        <v>29</v>
      </c>
      <c r="H22" s="1">
        <f>G22-4</f>
        <v>25</v>
      </c>
      <c r="I22" s="1">
        <f>F3</f>
        <v>20</v>
      </c>
      <c r="J22" s="1">
        <f>8</f>
        <v>8</v>
      </c>
      <c r="K22" s="1">
        <v>20</v>
      </c>
      <c r="L22" s="1">
        <f>2</f>
        <v>2</v>
      </c>
      <c r="M22" s="1">
        <f>H3*PI()</f>
        <v>141.37166941154069</v>
      </c>
      <c r="N22" s="1">
        <v>0</v>
      </c>
    </row>
    <row r="23" spans="6:23" x14ac:dyDescent="0.25">
      <c r="F23" s="1" t="s">
        <v>7</v>
      </c>
      <c r="G23" s="1">
        <f>G22-5</f>
        <v>24</v>
      </c>
      <c r="H23" s="1">
        <f t="shared" ref="H23:H25" si="8">G23-4</f>
        <v>20</v>
      </c>
      <c r="I23" s="1">
        <f>F4</f>
        <v>63</v>
      </c>
      <c r="J23" s="1">
        <v>41.78</v>
      </c>
      <c r="K23" s="1">
        <v>20</v>
      </c>
      <c r="L23" s="1">
        <f>2</f>
        <v>2</v>
      </c>
      <c r="M23" s="1">
        <f>H4*PI()</f>
        <v>188.49555921538757</v>
      </c>
      <c r="N23" s="1">
        <f>180-110</f>
        <v>70</v>
      </c>
    </row>
    <row r="24" spans="6:23" x14ac:dyDescent="0.25">
      <c r="F24" s="1" t="s">
        <v>8</v>
      </c>
      <c r="G24" s="1">
        <f t="shared" ref="G24:G25" si="9">G23-5</f>
        <v>19</v>
      </c>
      <c r="H24" s="1">
        <f t="shared" si="8"/>
        <v>15</v>
      </c>
      <c r="I24" s="1">
        <f>F5</f>
        <v>48</v>
      </c>
      <c r="J24" s="1">
        <v>30</v>
      </c>
      <c r="K24" s="1">
        <v>20</v>
      </c>
      <c r="L24" s="1">
        <f>2</f>
        <v>2</v>
      </c>
      <c r="M24" s="1">
        <f>H5*PI()</f>
        <v>235.61944901923448</v>
      </c>
      <c r="N24" s="1">
        <v>50</v>
      </c>
    </row>
    <row r="25" spans="6:23" x14ac:dyDescent="0.25">
      <c r="F25" s="1" t="s">
        <v>9</v>
      </c>
      <c r="G25" s="1">
        <f t="shared" si="9"/>
        <v>14</v>
      </c>
      <c r="H25" s="1">
        <f t="shared" si="8"/>
        <v>10</v>
      </c>
      <c r="I25" s="1">
        <f>F6</f>
        <v>34</v>
      </c>
      <c r="J25" s="1">
        <v>20</v>
      </c>
      <c r="K25" s="1">
        <v>20</v>
      </c>
      <c r="L25" s="1">
        <f>2</f>
        <v>2</v>
      </c>
      <c r="M25" s="1">
        <f>H6*PI()</f>
        <v>282.74333882308139</v>
      </c>
      <c r="N25" s="1">
        <v>44</v>
      </c>
    </row>
    <row r="26" spans="6:23" x14ac:dyDescent="0.25">
      <c r="F26" s="1"/>
      <c r="G26" s="1"/>
      <c r="H26" s="1" t="s">
        <v>21</v>
      </c>
      <c r="I26" s="2">
        <f>G7</f>
        <v>145</v>
      </c>
      <c r="J26" s="1">
        <f>ROUND(SUM(J22:J25),0)</f>
        <v>100</v>
      </c>
      <c r="K26" s="1"/>
      <c r="L26" s="1"/>
      <c r="M26" s="1" t="str">
        <f>IF(G7-M22&lt;=10,"Da","nu")</f>
        <v>Da</v>
      </c>
      <c r="N26" s="1">
        <f>SUM(N23:N25)</f>
        <v>164</v>
      </c>
    </row>
    <row r="27" spans="6:23" x14ac:dyDescent="0.25">
      <c r="F27" s="1"/>
      <c r="G27" s="1"/>
      <c r="H27" s="6" t="s">
        <v>31</v>
      </c>
      <c r="I27" s="7"/>
      <c r="J27" s="1">
        <f>(I26-J26)*2/PI()</f>
        <v>28.647889756541161</v>
      </c>
      <c r="K27" s="1"/>
      <c r="L27" s="1"/>
      <c r="M27" s="1"/>
      <c r="N27" s="1"/>
    </row>
    <row r="28" spans="6:23" x14ac:dyDescent="0.25">
      <c r="F28" s="1"/>
      <c r="G28" s="1"/>
      <c r="H28" s="6" t="s">
        <v>32</v>
      </c>
      <c r="I28" s="7"/>
      <c r="J28" s="1">
        <f>29</f>
        <v>29</v>
      </c>
      <c r="K28" s="1" t="s">
        <v>33</v>
      </c>
      <c r="L28" s="1">
        <f>J28+2</f>
        <v>31</v>
      </c>
      <c r="M28" s="1"/>
      <c r="N28" s="1"/>
    </row>
    <row r="29" spans="6:23" x14ac:dyDescent="0.25">
      <c r="F29" s="1"/>
      <c r="G29" s="1"/>
      <c r="H29" s="6" t="s">
        <v>39</v>
      </c>
      <c r="I29" s="7"/>
      <c r="J29" s="1" t="str">
        <f>IF(J28&gt;J27,"da","nu")</f>
        <v>da</v>
      </c>
      <c r="K29" s="1"/>
      <c r="L29" s="1"/>
      <c r="M29" s="1"/>
      <c r="N29" s="1"/>
    </row>
  </sheetData>
  <mergeCells count="6">
    <mergeCell ref="F20:F21"/>
    <mergeCell ref="G20:H20"/>
    <mergeCell ref="I20:J20"/>
    <mergeCell ref="H29:I29"/>
    <mergeCell ref="H27:I27"/>
    <mergeCell ref="H28:I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Vali2-PC</cp:lastModifiedBy>
  <dcterms:created xsi:type="dcterms:W3CDTF">2022-05-02T18:59:19Z</dcterms:created>
  <dcterms:modified xsi:type="dcterms:W3CDTF">2022-06-10T11:23:26Z</dcterms:modified>
</cp:coreProperties>
</file>